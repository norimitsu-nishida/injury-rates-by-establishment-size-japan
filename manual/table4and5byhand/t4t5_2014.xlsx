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060/factoryhealth-research/COVID死亡災害_業種規模分析/V2/public2/manual/table4and5byhand/"/>
    </mc:Choice>
  </mc:AlternateContent>
  <xr:revisionPtr revIDLastSave="0" documentId="13_ncr:1_{13D03ECF-9B52-7C44-BA77-AE57D32CB9CA}" xr6:coauthVersionLast="47" xr6:coauthVersionMax="47" xr10:uidLastSave="{00000000-0000-0000-0000-000000000000}"/>
  <bookViews>
    <workbookView xWindow="0" yWindow="660" windowWidth="30240" windowHeight="17880" xr2:uid="{00000000-000D-0000-FFFF-FFFF00000000}"/>
  </bookViews>
  <sheets>
    <sheet name="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7" i="1" l="1"/>
  <c r="X18" i="1"/>
  <c r="X19" i="1"/>
  <c r="X20" i="1"/>
  <c r="X21" i="1"/>
  <c r="X16" i="1"/>
  <c r="U17" i="1"/>
  <c r="U18" i="1"/>
  <c r="U19" i="1"/>
  <c r="U20" i="1"/>
  <c r="U21" i="1"/>
  <c r="U16" i="1"/>
  <c r="R21" i="1"/>
  <c r="R20" i="1"/>
  <c r="R19" i="1"/>
  <c r="R18" i="1"/>
  <c r="R17" i="1"/>
  <c r="R16" i="1"/>
</calcChain>
</file>

<file path=xl/sharedStrings.xml><?xml version="1.0" encoding="utf-8"?>
<sst xmlns="http://schemas.openxmlformats.org/spreadsheetml/2006/main" count="202" uniqueCount="125">
  <si>
    <t>統計名：</t>
  </si>
  <si>
    <t>平成26年経済センサス‐基礎調査 事業所に関する集計</t>
  </si>
  <si>
    <t>表番号：</t>
  </si>
  <si>
    <t>15102</t>
  </si>
  <si>
    <t>表題：</t>
  </si>
  <si>
    <t>産業（小分類）、常用雇用者規模（15区分）別従業上の地位（６区分）、男女別従業者数－全国、都道府県</t>
  </si>
  <si>
    <t>実施年月：</t>
  </si>
  <si>
    <t>2014年</t>
  </si>
  <si>
    <t>7月</t>
  </si>
  <si>
    <t>市区町村時点（年月日）：</t>
  </si>
  <si>
    <t>-</t>
  </si>
  <si>
    <t>時間軸：</t>
  </si>
  <si>
    <t>2014000000</t>
  </si>
  <si>
    <t/>
  </si>
  <si>
    <t>/H26_従業上の地位 コード</t>
  </si>
  <si>
    <t>004</t>
  </si>
  <si>
    <t>/H26_従業上の地位 補助コード</t>
  </si>
  <si>
    <t>/H26_従業上の地位</t>
  </si>
  <si>
    <t>常用雇用者</t>
  </si>
  <si>
    <t>/表章項目 コード</t>
  </si>
  <si>
    <t>005</t>
  </si>
  <si>
    <t>006</t>
  </si>
  <si>
    <t>/表章項目 補助コード</t>
  </si>
  <si>
    <t>H26_地域 コード</t>
  </si>
  <si>
    <t>H26_地域 補助コード</t>
  </si>
  <si>
    <t>H26_地域</t>
  </si>
  <si>
    <t>H26_産業分類 コード</t>
  </si>
  <si>
    <t>H26_産業分類 補助コード</t>
  </si>
  <si>
    <t>H26_産業分類</t>
  </si>
  <si>
    <t>H26_常用雇用者規模 コード</t>
  </si>
  <si>
    <t>H26_常用雇用者規模 補助コード</t>
  </si>
  <si>
    <t>H26_常用雇用者規模</t>
  </si>
  <si>
    <t>/表章項目</t>
  </si>
  <si>
    <t>従業者数　総数</t>
  </si>
  <si>
    <t>注釈</t>
  </si>
  <si>
    <t>従業者数　男</t>
  </si>
  <si>
    <t>従業者数　女</t>
  </si>
  <si>
    <t>00000</t>
  </si>
  <si>
    <t>全国</t>
  </si>
  <si>
    <t>010</t>
  </si>
  <si>
    <t>A～R 全産業（S公務を除く）</t>
  </si>
  <si>
    <t>000</t>
  </si>
  <si>
    <t>総数</t>
  </si>
  <si>
    <t>48,684,580</t>
  </si>
  <si>
    <t>26,627,001</t>
  </si>
  <si>
    <t>21,974,120</t>
  </si>
  <si>
    <t>002</t>
  </si>
  <si>
    <t>1～4人</t>
  </si>
  <si>
    <t>4,482,360</t>
  </si>
  <si>
    <t>2,008,488</t>
  </si>
  <si>
    <t>2,471,467</t>
  </si>
  <si>
    <t>007</t>
  </si>
  <si>
    <t>5～9人</t>
  </si>
  <si>
    <t>5,468,509</t>
  </si>
  <si>
    <t>2,750,706</t>
  </si>
  <si>
    <t>2,710,310</t>
  </si>
  <si>
    <t>008</t>
  </si>
  <si>
    <t>10～19人</t>
  </si>
  <si>
    <t>7,238,137</t>
  </si>
  <si>
    <t>3,880,344</t>
  </si>
  <si>
    <t>3,348,432</t>
  </si>
  <si>
    <t>009</t>
  </si>
  <si>
    <t>20～29人</t>
  </si>
  <si>
    <t>4,719,184</t>
  </si>
  <si>
    <t>2,510,141</t>
  </si>
  <si>
    <t>2,204,683</t>
  </si>
  <si>
    <t>011</t>
  </si>
  <si>
    <t>30～49人</t>
  </si>
  <si>
    <t>5,369,636</t>
  </si>
  <si>
    <t>2,935,373</t>
  </si>
  <si>
    <t>2,430,955</t>
  </si>
  <si>
    <t>012</t>
  </si>
  <si>
    <t>50～99人</t>
  </si>
  <si>
    <t>6,254,619</t>
  </si>
  <si>
    <t>3,473,894</t>
  </si>
  <si>
    <t>2,775,050</t>
  </si>
  <si>
    <t>013</t>
  </si>
  <si>
    <t>100～199人</t>
  </si>
  <si>
    <t>4,848,013</t>
  </si>
  <si>
    <t>2,795,726</t>
  </si>
  <si>
    <t>2,045,594</t>
  </si>
  <si>
    <t>014</t>
  </si>
  <si>
    <t>200～299人</t>
  </si>
  <si>
    <t>2,346,485</t>
  </si>
  <si>
    <t>1,360,291</t>
  </si>
  <si>
    <t>982,471</t>
  </si>
  <si>
    <t>016</t>
  </si>
  <si>
    <t>300～499人</t>
  </si>
  <si>
    <t>2,417,083</t>
  </si>
  <si>
    <t>1,398,632</t>
  </si>
  <si>
    <t>1,001,626</t>
  </si>
  <si>
    <t>017</t>
  </si>
  <si>
    <t>500～999人</t>
  </si>
  <si>
    <t>2,368,366</t>
  </si>
  <si>
    <t>1,408,765</t>
  </si>
  <si>
    <t>950,762</t>
  </si>
  <si>
    <t>018</t>
  </si>
  <si>
    <t>1000人以上</t>
  </si>
  <si>
    <t>3,172,188</t>
  </si>
  <si>
    <t>2,104,641</t>
  </si>
  <si>
    <t>1,052,770</t>
  </si>
  <si>
    <t>*</t>
  </si>
  <si>
    <t>項目名短縮</t>
  </si>
  <si>
    <t>***</t>
  </si>
  <si>
    <t>数字が得られないもの</t>
  </si>
  <si>
    <t>...</t>
  </si>
  <si>
    <t>X</t>
  </si>
  <si>
    <t>数字が秘匿されているもの</t>
  </si>
  <si>
    <t>x</t>
  </si>
  <si>
    <t>･･･</t>
  </si>
  <si>
    <t>新設項目</t>
  </si>
  <si>
    <t>Denominator</t>
    <phoneticPr fontId="13"/>
  </si>
  <si>
    <t>1to9</t>
    <phoneticPr fontId="13"/>
  </si>
  <si>
    <t>10to29</t>
    <phoneticPr fontId="13"/>
  </si>
  <si>
    <t>30to49</t>
    <phoneticPr fontId="13"/>
  </si>
  <si>
    <t>50to99</t>
    <phoneticPr fontId="13"/>
  </si>
  <si>
    <t>100to299</t>
    <phoneticPr fontId="13"/>
  </si>
  <si>
    <t>gte300</t>
    <phoneticPr fontId="13"/>
  </si>
  <si>
    <t>Numerator</t>
    <phoneticPr fontId="13"/>
  </si>
  <si>
    <t>Death</t>
    <phoneticPr fontId="13"/>
  </si>
  <si>
    <t>Reported</t>
    <phoneticPr fontId="13"/>
  </si>
  <si>
    <t>‐官公署</t>
    <phoneticPr fontId="13"/>
  </si>
  <si>
    <t>Rate</t>
    <phoneticPr fontId="13"/>
  </si>
  <si>
    <t>Matches with Table4</t>
    <phoneticPr fontId="13"/>
  </si>
  <si>
    <t>Matches with Table5</t>
    <phoneticPr fontId="1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</si>
</sst>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#"/>
  </numFmts>
  <fonts count="14">
    <font>
      <sz val="11"/>
      <color indexed="8"/>
      <name val="游ゴシック"/>
      <family val="2"/>
      <scheme val="minor"/>
    </font>
    <font>
      <sz val="11"/>
      <color indexed="17"/>
      <name val="Calibri"/>
      <family val="2"/>
    </font>
    <font>
      <sz val="11"/>
      <color indexed="10"/>
      <name val="Calibri"/>
      <family val="2"/>
    </font>
    <font>
      <sz val="11"/>
      <color indexed="17"/>
      <name val="Calibri"/>
      <family val="2"/>
    </font>
    <font>
      <sz val="11"/>
      <color indexed="10"/>
      <name val="Calibri"/>
      <family val="2"/>
    </font>
    <font>
      <sz val="11"/>
      <color indexed="17"/>
      <name val="Calibri"/>
      <family val="2"/>
    </font>
    <font>
      <sz val="11"/>
      <color indexed="10"/>
      <name val="Calibri"/>
      <family val="2"/>
    </font>
    <font>
      <sz val="11"/>
      <color indexed="17"/>
      <name val="Calibri"/>
      <family val="2"/>
    </font>
    <font>
      <sz val="11"/>
      <color indexed="10"/>
      <name val="Calibri"/>
      <family val="2"/>
    </font>
    <font>
      <sz val="11"/>
      <color indexed="17"/>
      <name val="Calibri"/>
      <family val="2"/>
    </font>
    <font>
      <sz val="11"/>
      <color indexed="10"/>
      <name val="Calibri"/>
      <family val="2"/>
    </font>
    <font>
      <sz val="11"/>
      <color indexed="17"/>
      <name val="Calibri"/>
      <family val="2"/>
    </font>
    <font>
      <sz val="11"/>
      <color indexed="10"/>
      <name val="Calibri"/>
      <family val="2"/>
    </font>
    <font>
      <sz val="6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none">
        <bgColor indexed="9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/>
      <diagonal/>
    </border>
  </borders>
  <cellStyleXfs count="1">
    <xf numFmtId="0" fontId="0" fillId="0" borderId="0">
      <alignment vertical="center"/>
    </xf>
  </cellStyleXfs>
  <cellXfs count="46">
    <xf numFmtId="0" fontId="0" fillId="0" borderId="0" xfId="0">
      <alignment vertical="center"/>
    </xf>
    <xf numFmtId="0" fontId="1" fillId="2" borderId="2" xfId="0" applyFont="1" applyFill="1" applyBorder="1"/>
    <xf numFmtId="0" fontId="2" fillId="2" borderId="2" xfId="0" applyFont="1" applyFill="1" applyBorder="1"/>
    <xf numFmtId="0" fontId="3" fillId="2" borderId="6" xfId="0" applyFont="1" applyFill="1" applyBorder="1"/>
    <xf numFmtId="0" fontId="4" fillId="2" borderId="6" xfId="0" applyFont="1" applyFill="1" applyBorder="1"/>
    <xf numFmtId="0" fontId="5" fillId="2" borderId="6" xfId="0" applyFont="1" applyFill="1" applyBorder="1"/>
    <xf numFmtId="0" fontId="6" fillId="2" borderId="8" xfId="0" applyFont="1" applyFill="1" applyBorder="1"/>
    <xf numFmtId="0" fontId="7" fillId="2" borderId="6" xfId="0" applyFont="1" applyFill="1" applyBorder="1"/>
    <xf numFmtId="0" fontId="8" fillId="2" borderId="6" xfId="0" applyFont="1" applyFill="1" applyBorder="1"/>
    <xf numFmtId="0" fontId="9" fillId="2" borderId="6" xfId="0" applyFont="1" applyFill="1" applyBorder="1"/>
    <xf numFmtId="0" fontId="10" fillId="2" borderId="6" xfId="0" applyFont="1" applyFill="1" applyBorder="1"/>
    <xf numFmtId="0" fontId="11" fillId="2" borderId="8" xfId="0" applyFont="1" applyFill="1" applyBorder="1"/>
    <xf numFmtId="0" fontId="12" fillId="2" borderId="8" xfId="0" applyFont="1" applyFill="1" applyBorder="1"/>
    <xf numFmtId="0" fontId="11" fillId="2" borderId="8" xfId="0" applyFont="1" applyFill="1" applyBorder="1" applyAlignment="1">
      <alignment horizontal="center"/>
    </xf>
    <xf numFmtId="0" fontId="11" fillId="2" borderId="10" xfId="0" applyFont="1" applyFill="1" applyBorder="1" applyAlignment="1">
      <alignment horizontal="center"/>
    </xf>
    <xf numFmtId="0" fontId="0" fillId="3" borderId="6" xfId="0" applyFill="1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3" borderId="6" xfId="0" applyFill="1" applyBorder="1"/>
    <xf numFmtId="176" fontId="0" fillId="3" borderId="1" xfId="0" applyNumberFormat="1" applyFill="1" applyBorder="1" applyAlignment="1">
      <alignment horizontal="right"/>
    </xf>
    <xf numFmtId="0" fontId="0" fillId="3" borderId="11" xfId="0" applyFill="1" applyBorder="1"/>
    <xf numFmtId="0" fontId="0" fillId="3" borderId="8" xfId="0" applyFill="1" applyBorder="1" applyAlignment="1">
      <alignment horizontal="left"/>
    </xf>
    <xf numFmtId="0" fontId="0" fillId="3" borderId="7" xfId="0" applyFill="1" applyBorder="1"/>
    <xf numFmtId="0" fontId="0" fillId="3" borderId="7" xfId="0" applyFill="1" applyBorder="1" applyAlignment="1">
      <alignment horizontal="left"/>
    </xf>
    <xf numFmtId="0" fontId="0" fillId="3" borderId="8" xfId="0" applyFill="1" applyBorder="1"/>
    <xf numFmtId="176" fontId="0" fillId="3" borderId="7" xfId="0" applyNumberFormat="1" applyFill="1" applyBorder="1" applyAlignment="1">
      <alignment horizontal="right"/>
    </xf>
    <xf numFmtId="0" fontId="0" fillId="3" borderId="9" xfId="0" applyFill="1" applyBorder="1"/>
    <xf numFmtId="0" fontId="1" fillId="2" borderId="4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2" borderId="9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176" fontId="0" fillId="0" borderId="0" xfId="0" applyNumberFormat="1">
      <alignment vertical="center"/>
    </xf>
    <xf numFmtId="56" fontId="0" fillId="0" borderId="0" xfId="0" applyNumberFormat="1">
      <alignment vertical="center"/>
    </xf>
    <xf numFmtId="0" fontId="0" fillId="0" borderId="0" xfId="0" quotePrefix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2"/>
  <sheetViews>
    <sheetView tabSelected="1" topLeftCell="K8" zoomScale="163" workbookViewId="0">
      <selection activeCell="X23" sqref="X23"/>
    </sheetView>
  </sheetViews>
  <sheetFormatPr baseColWidth="10" defaultColWidth="8.83203125" defaultRowHeight="18"/>
  <cols>
    <col min="11" max="11" width="15" bestFit="1" customWidth="1"/>
    <col min="12" max="12" width="5.6640625" bestFit="1" customWidth="1"/>
    <col min="13" max="13" width="13" bestFit="1" customWidth="1"/>
    <col min="14" max="14" width="5.6640625" bestFit="1" customWidth="1"/>
    <col min="15" max="15" width="13" bestFit="1" customWidth="1"/>
    <col min="17" max="17" width="9.6640625" bestFit="1" customWidth="1"/>
    <col min="18" max="18" width="11" bestFit="1" customWidth="1"/>
    <col min="21" max="21" width="13.6640625" bestFit="1" customWidth="1"/>
    <col min="22" max="22" width="9.33203125" bestFit="1" customWidth="1"/>
  </cols>
  <sheetData>
    <row r="1" spans="1:24">
      <c r="A1" t="s">
        <v>0</v>
      </c>
      <c r="B1" t="s">
        <v>1</v>
      </c>
    </row>
    <row r="2" spans="1:24">
      <c r="A2" t="s">
        <v>2</v>
      </c>
      <c r="B2" t="s">
        <v>3</v>
      </c>
    </row>
    <row r="3" spans="1:24">
      <c r="A3" t="s">
        <v>4</v>
      </c>
      <c r="B3" t="s">
        <v>5</v>
      </c>
    </row>
    <row r="4" spans="1:24">
      <c r="A4" t="s">
        <v>6</v>
      </c>
      <c r="B4" t="s">
        <v>7</v>
      </c>
      <c r="C4" t="s">
        <v>8</v>
      </c>
    </row>
    <row r="5" spans="1:24">
      <c r="A5" t="s">
        <v>9</v>
      </c>
      <c r="B5" t="s">
        <v>10</v>
      </c>
    </row>
    <row r="6" spans="1:24">
      <c r="A6" t="s">
        <v>11</v>
      </c>
      <c r="B6" t="s">
        <v>12</v>
      </c>
      <c r="C6" t="s">
        <v>13</v>
      </c>
      <c r="D6" t="s">
        <v>7</v>
      </c>
    </row>
    <row r="8" spans="1:24">
      <c r="A8" s="1"/>
      <c r="B8" s="1"/>
      <c r="C8" s="1"/>
      <c r="D8" s="1"/>
      <c r="E8" s="1"/>
      <c r="F8" s="1"/>
      <c r="G8" s="1"/>
      <c r="H8" s="1"/>
      <c r="I8" s="1"/>
      <c r="J8" s="2" t="s">
        <v>14</v>
      </c>
      <c r="K8" s="27" t="s">
        <v>15</v>
      </c>
      <c r="L8" s="28" t="s">
        <v>13</v>
      </c>
      <c r="M8" s="28" t="s">
        <v>13</v>
      </c>
      <c r="N8" s="28" t="s">
        <v>13</v>
      </c>
      <c r="O8" s="28" t="s">
        <v>13</v>
      </c>
      <c r="P8" s="29" t="s">
        <v>13</v>
      </c>
    </row>
    <row r="9" spans="1:24">
      <c r="A9" s="3"/>
      <c r="B9" s="3"/>
      <c r="C9" s="3"/>
      <c r="D9" s="3"/>
      <c r="E9" s="3"/>
      <c r="F9" s="3"/>
      <c r="G9" s="3"/>
      <c r="H9" s="3"/>
      <c r="I9" s="3"/>
      <c r="J9" s="4" t="s">
        <v>16</v>
      </c>
      <c r="K9" s="30" t="s">
        <v>10</v>
      </c>
      <c r="L9" s="31" t="s">
        <v>13</v>
      </c>
      <c r="M9" s="31" t="s">
        <v>13</v>
      </c>
      <c r="N9" s="31" t="s">
        <v>13</v>
      </c>
      <c r="O9" s="31" t="s">
        <v>13</v>
      </c>
      <c r="P9" s="32" t="s">
        <v>13</v>
      </c>
    </row>
    <row r="10" spans="1:24">
      <c r="A10" s="5"/>
      <c r="B10" s="5"/>
      <c r="C10" s="5"/>
      <c r="D10" s="5"/>
      <c r="E10" s="5"/>
      <c r="F10" s="5"/>
      <c r="G10" s="5"/>
      <c r="H10" s="5"/>
      <c r="I10" s="5"/>
      <c r="J10" s="6" t="s">
        <v>17</v>
      </c>
      <c r="K10" s="33" t="s">
        <v>18</v>
      </c>
      <c r="L10" s="34" t="s">
        <v>13</v>
      </c>
      <c r="M10" s="34" t="s">
        <v>13</v>
      </c>
      <c r="N10" s="34" t="s">
        <v>13</v>
      </c>
      <c r="O10" s="34" t="s">
        <v>13</v>
      </c>
      <c r="P10" s="35" t="s">
        <v>13</v>
      </c>
    </row>
    <row r="11" spans="1:24">
      <c r="A11" s="7"/>
      <c r="B11" s="7"/>
      <c r="C11" s="7"/>
      <c r="D11" s="7"/>
      <c r="E11" s="7"/>
      <c r="F11" s="7"/>
      <c r="G11" s="7"/>
      <c r="H11" s="7"/>
      <c r="I11" s="7"/>
      <c r="J11" s="8" t="s">
        <v>19</v>
      </c>
      <c r="K11" s="36" t="s">
        <v>15</v>
      </c>
      <c r="L11" s="37" t="s">
        <v>15</v>
      </c>
      <c r="M11" s="36" t="s">
        <v>20</v>
      </c>
      <c r="N11" s="37" t="s">
        <v>20</v>
      </c>
      <c r="O11" s="36" t="s">
        <v>21</v>
      </c>
      <c r="P11" s="38" t="s">
        <v>21</v>
      </c>
    </row>
    <row r="12" spans="1:24">
      <c r="A12" s="9"/>
      <c r="B12" s="9"/>
      <c r="C12" s="9"/>
      <c r="D12" s="9"/>
      <c r="E12" s="9"/>
      <c r="F12" s="9"/>
      <c r="G12" s="9"/>
      <c r="H12" s="9"/>
      <c r="I12" s="9"/>
      <c r="J12" s="10" t="s">
        <v>22</v>
      </c>
      <c r="K12" s="39" t="s">
        <v>10</v>
      </c>
      <c r="L12" s="40" t="s">
        <v>10</v>
      </c>
      <c r="M12" s="39" t="s">
        <v>10</v>
      </c>
      <c r="N12" s="40" t="s">
        <v>10</v>
      </c>
      <c r="O12" s="39" t="s">
        <v>10</v>
      </c>
      <c r="P12" s="41" t="s">
        <v>10</v>
      </c>
    </row>
    <row r="13" spans="1:24">
      <c r="A13" s="11" t="s">
        <v>23</v>
      </c>
      <c r="B13" s="11" t="s">
        <v>24</v>
      </c>
      <c r="C13" s="11" t="s">
        <v>25</v>
      </c>
      <c r="D13" s="11" t="s">
        <v>26</v>
      </c>
      <c r="E13" s="11" t="s">
        <v>27</v>
      </c>
      <c r="F13" s="11" t="s">
        <v>28</v>
      </c>
      <c r="G13" s="11" t="s">
        <v>29</v>
      </c>
      <c r="H13" s="11" t="s">
        <v>30</v>
      </c>
      <c r="I13" s="11" t="s">
        <v>31</v>
      </c>
      <c r="J13" s="12" t="s">
        <v>32</v>
      </c>
      <c r="K13" s="13" t="s">
        <v>33</v>
      </c>
      <c r="L13" s="13" t="s">
        <v>34</v>
      </c>
      <c r="M13" s="13" t="s">
        <v>35</v>
      </c>
      <c r="N13" s="13" t="s">
        <v>34</v>
      </c>
      <c r="O13" s="13" t="s">
        <v>36</v>
      </c>
      <c r="P13" s="14" t="s">
        <v>34</v>
      </c>
      <c r="R13" s="42" t="s">
        <v>111</v>
      </c>
      <c r="S13" s="42" t="s">
        <v>118</v>
      </c>
    </row>
    <row r="14" spans="1:24">
      <c r="A14" s="15" t="s">
        <v>37</v>
      </c>
      <c r="B14" s="16"/>
      <c r="C14" s="17" t="s">
        <v>38</v>
      </c>
      <c r="D14" s="17" t="s">
        <v>39</v>
      </c>
      <c r="E14" s="16"/>
      <c r="F14" s="17" t="s">
        <v>40</v>
      </c>
      <c r="G14" s="17" t="s">
        <v>41</v>
      </c>
      <c r="H14" s="16"/>
      <c r="I14" s="17" t="s">
        <v>42</v>
      </c>
      <c r="J14" s="18"/>
      <c r="K14" s="19" t="s">
        <v>43</v>
      </c>
      <c r="L14" s="16"/>
      <c r="M14" s="19" t="s">
        <v>44</v>
      </c>
      <c r="N14" s="16"/>
      <c r="O14" s="19" t="s">
        <v>45</v>
      </c>
      <c r="P14" s="20"/>
      <c r="S14" t="s">
        <v>119</v>
      </c>
      <c r="V14" t="s">
        <v>120</v>
      </c>
    </row>
    <row r="15" spans="1:24">
      <c r="A15" s="15" t="s">
        <v>37</v>
      </c>
      <c r="B15" s="16"/>
      <c r="C15" s="17" t="s">
        <v>38</v>
      </c>
      <c r="D15" s="17" t="s">
        <v>39</v>
      </c>
      <c r="E15" s="16"/>
      <c r="F15" s="17" t="s">
        <v>40</v>
      </c>
      <c r="G15" s="17" t="s">
        <v>46</v>
      </c>
      <c r="H15" s="16"/>
      <c r="I15" s="17" t="s">
        <v>47</v>
      </c>
      <c r="J15" s="18"/>
      <c r="K15" s="19" t="s">
        <v>48</v>
      </c>
      <c r="L15" s="16"/>
      <c r="M15" s="19" t="s">
        <v>49</v>
      </c>
      <c r="N15" s="16"/>
      <c r="O15" s="19" t="s">
        <v>50</v>
      </c>
      <c r="P15" s="20"/>
      <c r="T15" s="45" t="s">
        <v>121</v>
      </c>
      <c r="U15" t="s">
        <v>122</v>
      </c>
      <c r="W15" s="45" t="s">
        <v>121</v>
      </c>
      <c r="X15" t="s">
        <v>122</v>
      </c>
    </row>
    <row r="16" spans="1:24">
      <c r="A16" s="15" t="s">
        <v>37</v>
      </c>
      <c r="B16" s="16"/>
      <c r="C16" s="17" t="s">
        <v>38</v>
      </c>
      <c r="D16" s="17" t="s">
        <v>39</v>
      </c>
      <c r="E16" s="16"/>
      <c r="F16" s="17" t="s">
        <v>40</v>
      </c>
      <c r="G16" s="17" t="s">
        <v>51</v>
      </c>
      <c r="H16" s="16"/>
      <c r="I16" s="17" t="s">
        <v>52</v>
      </c>
      <c r="J16" s="18"/>
      <c r="K16" s="19" t="s">
        <v>53</v>
      </c>
      <c r="L16" s="16"/>
      <c r="M16" s="19" t="s">
        <v>54</v>
      </c>
      <c r="N16" s="16"/>
      <c r="O16" s="19" t="s">
        <v>55</v>
      </c>
      <c r="P16" s="20"/>
      <c r="Q16" s="45" t="s">
        <v>112</v>
      </c>
      <c r="R16" s="43">
        <f>K15+K16</f>
        <v>9950869</v>
      </c>
      <c r="S16">
        <v>364</v>
      </c>
      <c r="T16">
        <v>0</v>
      </c>
      <c r="U16">
        <f>S16/R16*100000</f>
        <v>3.657971982145479</v>
      </c>
      <c r="V16">
        <v>27207</v>
      </c>
      <c r="W16">
        <v>14</v>
      </c>
      <c r="X16">
        <f>(V16-W16)/R16*100000</f>
        <v>273.27261568813736</v>
      </c>
    </row>
    <row r="17" spans="1:24">
      <c r="A17" s="15" t="s">
        <v>37</v>
      </c>
      <c r="B17" s="16"/>
      <c r="C17" s="17" t="s">
        <v>38</v>
      </c>
      <c r="D17" s="17" t="s">
        <v>39</v>
      </c>
      <c r="E17" s="16"/>
      <c r="F17" s="17" t="s">
        <v>40</v>
      </c>
      <c r="G17" s="17" t="s">
        <v>56</v>
      </c>
      <c r="H17" s="16"/>
      <c r="I17" s="17" t="s">
        <v>57</v>
      </c>
      <c r="J17" s="18"/>
      <c r="K17" s="19" t="s">
        <v>58</v>
      </c>
      <c r="L17" s="16"/>
      <c r="M17" s="19" t="s">
        <v>59</v>
      </c>
      <c r="N17" s="16"/>
      <c r="O17" s="19" t="s">
        <v>60</v>
      </c>
      <c r="P17" s="20"/>
      <c r="Q17" s="44" t="s">
        <v>113</v>
      </c>
      <c r="R17" s="43">
        <f>K17+K18</f>
        <v>11957321</v>
      </c>
      <c r="S17">
        <v>351</v>
      </c>
      <c r="T17">
        <v>0</v>
      </c>
      <c r="U17">
        <f t="shared" ref="U17:U21" si="0">S17/R17*100000</f>
        <v>2.9354401374689196</v>
      </c>
      <c r="V17">
        <v>31638</v>
      </c>
      <c r="W17">
        <v>19</v>
      </c>
      <c r="X17">
        <f t="shared" ref="X17:X21" si="1">(V17-W17)/R17*100000</f>
        <v>264.43214161432985</v>
      </c>
    </row>
    <row r="18" spans="1:24">
      <c r="A18" s="15" t="s">
        <v>37</v>
      </c>
      <c r="B18" s="16"/>
      <c r="C18" s="17" t="s">
        <v>38</v>
      </c>
      <c r="D18" s="17" t="s">
        <v>39</v>
      </c>
      <c r="E18" s="16"/>
      <c r="F18" s="17" t="s">
        <v>40</v>
      </c>
      <c r="G18" s="17" t="s">
        <v>61</v>
      </c>
      <c r="H18" s="16"/>
      <c r="I18" s="17" t="s">
        <v>62</v>
      </c>
      <c r="J18" s="18"/>
      <c r="K18" s="19" t="s">
        <v>63</v>
      </c>
      <c r="L18" s="16"/>
      <c r="M18" s="19" t="s">
        <v>64</v>
      </c>
      <c r="N18" s="16"/>
      <c r="O18" s="19" t="s">
        <v>65</v>
      </c>
      <c r="P18" s="20"/>
      <c r="Q18" t="s">
        <v>114</v>
      </c>
      <c r="R18" s="43" t="str">
        <f>K19</f>
        <v>5,369,636</v>
      </c>
      <c r="S18">
        <v>133</v>
      </c>
      <c r="T18">
        <v>0</v>
      </c>
      <c r="U18">
        <f t="shared" si="0"/>
        <v>2.4768904260921971</v>
      </c>
      <c r="V18">
        <v>17059</v>
      </c>
      <c r="W18">
        <v>6</v>
      </c>
      <c r="X18">
        <f t="shared" si="1"/>
        <v>317.58204839210703</v>
      </c>
    </row>
    <row r="19" spans="1:24">
      <c r="A19" s="15" t="s">
        <v>37</v>
      </c>
      <c r="B19" s="16"/>
      <c r="C19" s="17" t="s">
        <v>38</v>
      </c>
      <c r="D19" s="17" t="s">
        <v>39</v>
      </c>
      <c r="E19" s="16"/>
      <c r="F19" s="17" t="s">
        <v>40</v>
      </c>
      <c r="G19" s="17" t="s">
        <v>66</v>
      </c>
      <c r="H19" s="16"/>
      <c r="I19" s="17" t="s">
        <v>67</v>
      </c>
      <c r="J19" s="18"/>
      <c r="K19" s="19" t="s">
        <v>68</v>
      </c>
      <c r="L19" s="16"/>
      <c r="M19" s="19" t="s">
        <v>69</v>
      </c>
      <c r="N19" s="16"/>
      <c r="O19" s="19" t="s">
        <v>70</v>
      </c>
      <c r="P19" s="20"/>
      <c r="Q19" t="s">
        <v>115</v>
      </c>
      <c r="R19" s="43" t="str">
        <f>K20</f>
        <v>6,254,619</v>
      </c>
      <c r="S19">
        <v>102</v>
      </c>
      <c r="T19">
        <v>0</v>
      </c>
      <c r="U19">
        <f t="shared" si="0"/>
        <v>1.6307947774276899</v>
      </c>
      <c r="V19">
        <v>16239</v>
      </c>
      <c r="W19">
        <v>12</v>
      </c>
      <c r="X19">
        <f t="shared" si="1"/>
        <v>259.44026326783455</v>
      </c>
    </row>
    <row r="20" spans="1:24">
      <c r="A20" s="15" t="s">
        <v>37</v>
      </c>
      <c r="B20" s="16"/>
      <c r="C20" s="17" t="s">
        <v>38</v>
      </c>
      <c r="D20" s="17" t="s">
        <v>39</v>
      </c>
      <c r="E20" s="16"/>
      <c r="F20" s="17" t="s">
        <v>40</v>
      </c>
      <c r="G20" s="17" t="s">
        <v>71</v>
      </c>
      <c r="H20" s="16"/>
      <c r="I20" s="17" t="s">
        <v>72</v>
      </c>
      <c r="J20" s="18"/>
      <c r="K20" s="19" t="s">
        <v>73</v>
      </c>
      <c r="L20" s="16"/>
      <c r="M20" s="19" t="s">
        <v>74</v>
      </c>
      <c r="N20" s="16"/>
      <c r="O20" s="19" t="s">
        <v>75</v>
      </c>
      <c r="P20" s="20"/>
      <c r="Q20" t="s">
        <v>116</v>
      </c>
      <c r="R20" s="43">
        <f>K21+K22</f>
        <v>7194498</v>
      </c>
      <c r="S20">
        <v>80</v>
      </c>
      <c r="T20">
        <v>0</v>
      </c>
      <c r="U20">
        <f t="shared" si="0"/>
        <v>1.1119608345154868</v>
      </c>
      <c r="V20">
        <v>17918</v>
      </c>
      <c r="W20">
        <v>15</v>
      </c>
      <c r="X20">
        <f t="shared" si="1"/>
        <v>248.84293525413449</v>
      </c>
    </row>
    <row r="21" spans="1:24">
      <c r="A21" s="15" t="s">
        <v>37</v>
      </c>
      <c r="B21" s="16"/>
      <c r="C21" s="17" t="s">
        <v>38</v>
      </c>
      <c r="D21" s="17" t="s">
        <v>39</v>
      </c>
      <c r="E21" s="16"/>
      <c r="F21" s="17" t="s">
        <v>40</v>
      </c>
      <c r="G21" s="17" t="s">
        <v>76</v>
      </c>
      <c r="H21" s="16"/>
      <c r="I21" s="17" t="s">
        <v>77</v>
      </c>
      <c r="J21" s="18"/>
      <c r="K21" s="19" t="s">
        <v>78</v>
      </c>
      <c r="L21" s="16"/>
      <c r="M21" s="19" t="s">
        <v>79</v>
      </c>
      <c r="N21" s="16"/>
      <c r="O21" s="19" t="s">
        <v>80</v>
      </c>
      <c r="P21" s="20"/>
      <c r="Q21" t="s">
        <v>117</v>
      </c>
      <c r="R21" s="43">
        <f>K23+K24+K25</f>
        <v>7957637</v>
      </c>
      <c r="S21">
        <v>27</v>
      </c>
      <c r="T21">
        <v>0</v>
      </c>
      <c r="U21">
        <f t="shared" si="0"/>
        <v>0.33929670328013206</v>
      </c>
      <c r="V21">
        <v>9474</v>
      </c>
      <c r="W21">
        <v>23</v>
      </c>
      <c r="X21">
        <f t="shared" si="1"/>
        <v>118.76641269261215</v>
      </c>
    </row>
    <row r="22" spans="1:24">
      <c r="A22" s="15" t="s">
        <v>37</v>
      </c>
      <c r="B22" s="16"/>
      <c r="C22" s="17" t="s">
        <v>38</v>
      </c>
      <c r="D22" s="17" t="s">
        <v>39</v>
      </c>
      <c r="E22" s="16"/>
      <c r="F22" s="17" t="s">
        <v>40</v>
      </c>
      <c r="G22" s="17" t="s">
        <v>81</v>
      </c>
      <c r="H22" s="16"/>
      <c r="I22" s="17" t="s">
        <v>82</v>
      </c>
      <c r="J22" s="18"/>
      <c r="K22" s="19" t="s">
        <v>83</v>
      </c>
      <c r="L22" s="16"/>
      <c r="M22" s="19" t="s">
        <v>84</v>
      </c>
      <c r="N22" s="16"/>
      <c r="O22" s="19" t="s">
        <v>85</v>
      </c>
      <c r="P22" s="20"/>
      <c r="U22" t="s">
        <v>123</v>
      </c>
      <c r="X22" t="s">
        <v>124</v>
      </c>
    </row>
    <row r="23" spans="1:24">
      <c r="A23" s="15" t="s">
        <v>37</v>
      </c>
      <c r="B23" s="16"/>
      <c r="C23" s="17" t="s">
        <v>38</v>
      </c>
      <c r="D23" s="17" t="s">
        <v>39</v>
      </c>
      <c r="E23" s="16"/>
      <c r="F23" s="17" t="s">
        <v>40</v>
      </c>
      <c r="G23" s="17" t="s">
        <v>86</v>
      </c>
      <c r="H23" s="16"/>
      <c r="I23" s="17" t="s">
        <v>87</v>
      </c>
      <c r="J23" s="18"/>
      <c r="K23" s="19" t="s">
        <v>88</v>
      </c>
      <c r="L23" s="16"/>
      <c r="M23" s="19" t="s">
        <v>89</v>
      </c>
      <c r="N23" s="16"/>
      <c r="O23" s="19" t="s">
        <v>90</v>
      </c>
      <c r="P23" s="20"/>
    </row>
    <row r="24" spans="1:24">
      <c r="A24" s="15" t="s">
        <v>37</v>
      </c>
      <c r="B24" s="16"/>
      <c r="C24" s="17" t="s">
        <v>38</v>
      </c>
      <c r="D24" s="17" t="s">
        <v>39</v>
      </c>
      <c r="E24" s="16"/>
      <c r="F24" s="17" t="s">
        <v>40</v>
      </c>
      <c r="G24" s="17" t="s">
        <v>91</v>
      </c>
      <c r="H24" s="16"/>
      <c r="I24" s="17" t="s">
        <v>92</v>
      </c>
      <c r="J24" s="18"/>
      <c r="K24" s="19" t="s">
        <v>93</v>
      </c>
      <c r="L24" s="16"/>
      <c r="M24" s="19" t="s">
        <v>94</v>
      </c>
      <c r="N24" s="16"/>
      <c r="O24" s="19" t="s">
        <v>95</v>
      </c>
      <c r="P24" s="20"/>
    </row>
    <row r="25" spans="1:24">
      <c r="A25" s="21" t="s">
        <v>37</v>
      </c>
      <c r="B25" s="22"/>
      <c r="C25" s="23" t="s">
        <v>38</v>
      </c>
      <c r="D25" s="23" t="s">
        <v>39</v>
      </c>
      <c r="E25" s="22"/>
      <c r="F25" s="23" t="s">
        <v>40</v>
      </c>
      <c r="G25" s="23" t="s">
        <v>96</v>
      </c>
      <c r="H25" s="22"/>
      <c r="I25" s="23" t="s">
        <v>97</v>
      </c>
      <c r="J25" s="24"/>
      <c r="K25" s="25" t="s">
        <v>98</v>
      </c>
      <c r="L25" s="22"/>
      <c r="M25" s="25" t="s">
        <v>99</v>
      </c>
      <c r="N25" s="22"/>
      <c r="O25" s="25" t="s">
        <v>100</v>
      </c>
      <c r="P25" s="26"/>
    </row>
    <row r="27" spans="1:24">
      <c r="A27" t="s">
        <v>101</v>
      </c>
      <c r="B27" t="s">
        <v>102</v>
      </c>
    </row>
    <row r="28" spans="1:24">
      <c r="A28" t="s">
        <v>103</v>
      </c>
      <c r="B28" t="s">
        <v>104</v>
      </c>
    </row>
    <row r="29" spans="1:24">
      <c r="A29" t="s">
        <v>105</v>
      </c>
      <c r="B29" t="s">
        <v>104</v>
      </c>
    </row>
    <row r="30" spans="1:24">
      <c r="A30" t="s">
        <v>106</v>
      </c>
      <c r="B30" t="s">
        <v>107</v>
      </c>
    </row>
    <row r="31" spans="1:24">
      <c r="A31" t="s">
        <v>108</v>
      </c>
      <c r="B31" t="s">
        <v>107</v>
      </c>
    </row>
    <row r="32" spans="1:24">
      <c r="A32" t="s">
        <v>109</v>
      </c>
      <c r="B32" t="s">
        <v>110</v>
      </c>
    </row>
  </sheetData>
  <mergeCells count="9">
    <mergeCell ref="K12:L12"/>
    <mergeCell ref="M12:N12"/>
    <mergeCell ref="O12:P12"/>
    <mergeCell ref="K8:P8"/>
    <mergeCell ref="K9:P9"/>
    <mergeCell ref="K10:P10"/>
    <mergeCell ref="K11:L11"/>
    <mergeCell ref="M11:N11"/>
    <mergeCell ref="O11:P11"/>
  </mergeCells>
  <phoneticPr fontId="1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典充 西田</cp:lastModifiedBy>
  <dcterms:created xsi:type="dcterms:W3CDTF">2026-10-09T03:32:27Z</dcterms:created>
  <dcterms:modified xsi:type="dcterms:W3CDTF">2026-10-09T08:11:36Z</dcterms:modified>
</cp:coreProperties>
</file>